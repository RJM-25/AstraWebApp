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webapp\"/>
    </mc:Choice>
  </mc:AlternateContent>
  <bookViews>
    <workbookView xWindow="0" yWindow="0" windowWidth="28800" windowHeight="12180" activeTab="1"/>
  </bookViews>
  <sheets>
    <sheet name="Attendees" sheetId="1" r:id="rId1"/>
    <sheet name="Schedule" sheetId="2" r:id="rId2"/>
  </sheets>
  <calcPr calcId="162913"/>
</workbook>
</file>

<file path=xl/calcChain.xml><?xml version="1.0" encoding="utf-8"?>
<calcChain xmlns="http://schemas.openxmlformats.org/spreadsheetml/2006/main">
  <c r="E33" i="2" l="1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D22" i="2"/>
  <c r="D23" i="2"/>
  <c r="D24" i="2"/>
  <c r="D25" i="2"/>
  <c r="D26" i="2"/>
  <c r="D27" i="2"/>
  <c r="D28" i="2"/>
  <c r="D29" i="2"/>
  <c r="D30" i="2"/>
  <c r="D31" i="2"/>
  <c r="D32" i="2"/>
  <c r="D20" i="2"/>
  <c r="D21" i="2"/>
  <c r="E19" i="2"/>
  <c r="D19" i="2"/>
  <c r="E1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7" i="2"/>
  <c r="E18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E2" i="2"/>
  <c r="D2" i="2"/>
</calcChain>
</file>

<file path=xl/sharedStrings.xml><?xml version="1.0" encoding="utf-8"?>
<sst xmlns="http://schemas.openxmlformats.org/spreadsheetml/2006/main" count="287" uniqueCount="127">
  <si>
    <t>Conference_ID</t>
  </si>
  <si>
    <t>Name</t>
  </si>
  <si>
    <t>Track</t>
  </si>
  <si>
    <t>Room</t>
  </si>
  <si>
    <t>Robotics &amp; ROS</t>
  </si>
  <si>
    <t xml:space="preserve">Admin Council Hall </t>
  </si>
  <si>
    <t>Computer Vision</t>
  </si>
  <si>
    <t>Admin Council Hall</t>
  </si>
  <si>
    <t>Day</t>
  </si>
  <si>
    <t>Date</t>
  </si>
  <si>
    <t>Time_Slot</t>
  </si>
  <si>
    <t>Start_Time</t>
  </si>
  <si>
    <t>End_Time</t>
  </si>
  <si>
    <t>Event_Name</t>
  </si>
  <si>
    <t>Speaker_Affiliation</t>
  </si>
  <si>
    <t>Location</t>
  </si>
  <si>
    <t>Day 1</t>
  </si>
  <si>
    <t>07:45 - 09:00</t>
  </si>
  <si>
    <t>Registration</t>
  </si>
  <si>
    <t>Main Gate</t>
  </si>
  <si>
    <t>09:15 - 10:00</t>
  </si>
  <si>
    <t>Welcome and Inaugural Session</t>
  </si>
  <si>
    <t>MPH</t>
  </si>
  <si>
    <t>Keynote Session - 1: Optimal Computational Guidance for Challenging Space Missions</t>
  </si>
  <si>
    <t>Prof. Radhakant Padhi (Indian Institute of Science, Bangalore)</t>
  </si>
  <si>
    <t>10:50 - 11:00</t>
  </si>
  <si>
    <t>High Tea</t>
  </si>
  <si>
    <t>11:10 - 12:00</t>
  </si>
  <si>
    <t>Keynote Session - 2: Continuous and Explosive Transitions in Thermoacoustic Systems</t>
  </si>
  <si>
    <t>Prof. R I Sujith (Indian Institute of Technology, Madras)</t>
  </si>
  <si>
    <t>Lunch Break</t>
  </si>
  <si>
    <t>SAC</t>
  </si>
  <si>
    <t>Paper Presentation Session 1: TS-1 (Thermal Session)</t>
  </si>
  <si>
    <t>Council Hall</t>
  </si>
  <si>
    <t>Paper Presentation Session 1: AS-1 (Aerodynamics Session)</t>
  </si>
  <si>
    <t>Conference Hall</t>
  </si>
  <si>
    <t>Paper Presentation Session 1: SS-1 (Structures Session)</t>
  </si>
  <si>
    <t>C 102</t>
  </si>
  <si>
    <t>Paper Presentation Session 1: SS-2 (Structures Session)</t>
  </si>
  <si>
    <t>C 106</t>
  </si>
  <si>
    <t>Paper Presentation Session 1: SS-3 (Structures Session)</t>
  </si>
  <si>
    <t>Paper Presentation Session 1: MS-1 (Manufacturing Session)</t>
  </si>
  <si>
    <t>C 103</t>
  </si>
  <si>
    <t>Paper Presentation Session 1: TS-2 (Thermal Session)</t>
  </si>
  <si>
    <t>C 104</t>
  </si>
  <si>
    <t>Keynote Session - 3: From High-Performance to High-Efficiency: The Evolution of Material Design and Sustainable Processing in Fiber-Reinforced Composites</t>
  </si>
  <si>
    <t>Dr. P Sasikumar (Vikram Sarabhai Space Center, ISRO)</t>
  </si>
  <si>
    <t>Tea Break</t>
  </si>
  <si>
    <t>MathWorks Talk &amp; Ansys Talk</t>
  </si>
  <si>
    <t>Interdisciplinary Labs &amp; Aerospace Labs</t>
  </si>
  <si>
    <t>Cultural Night</t>
  </si>
  <si>
    <t>Day 2</t>
  </si>
  <si>
    <t>05.06.2026</t>
  </si>
  <si>
    <t>09:00 - 09:50</t>
  </si>
  <si>
    <t>Keynote Session - 4: Shock Transitions in Gases and Liquids : Effects of Interfaces and Geometry</t>
  </si>
  <si>
    <t>Prof. G Rajesh (Indian Institute of Technology, Madras)</t>
  </si>
  <si>
    <t>09:50 - 10:40</t>
  </si>
  <si>
    <t>Keynote Session - 5: Vision-Based Autonomous Landing of an Uncrewed Aerial Vehicle on Ship Deck</t>
  </si>
  <si>
    <t>Prof. Abhishek (Indian Institute of Technology, Kanpur)</t>
  </si>
  <si>
    <t>10:40 - 10:50</t>
  </si>
  <si>
    <t>10:50 - 12:50</t>
  </si>
  <si>
    <t>DASSAULT Session</t>
  </si>
  <si>
    <t>Keynote Session - 6: Enhancing Surface Quality of Additively Manufactured Complex Surface Features through Polymer Rheological Abrasive Fluids</t>
  </si>
  <si>
    <t>Prof. M Ravi Sankar (Indian Institute of Technology, Tirupati)</t>
  </si>
  <si>
    <t>MATLAB Session I</t>
  </si>
  <si>
    <t>D4 - CADD Lab</t>
  </si>
  <si>
    <t>ANSYS Session I</t>
  </si>
  <si>
    <t>D1 - Computer Instructional Lab</t>
  </si>
  <si>
    <t>Advanced Manufacturing Session I</t>
  </si>
  <si>
    <t>D1 - Language Lab</t>
  </si>
  <si>
    <t>MATLAB Session II</t>
  </si>
  <si>
    <t>Advanced Manufacturing Session II</t>
  </si>
  <si>
    <t>Networking Dinner</t>
  </si>
  <si>
    <t>Day 3</t>
  </si>
  <si>
    <t>Keynote Session - 7: Physics-Informed Machine Learning in CFD</t>
  </si>
  <si>
    <t>Dr. Madhukar M Rao (ACRI Infotech)</t>
  </si>
  <si>
    <t>Keynote Session - 8: Fluid Structures Interaction</t>
  </si>
  <si>
    <t>Prof. Sanjay Mittal (Indian Institute of Technology, Kanpur)</t>
  </si>
  <si>
    <t>Paper Presentation Session 2: TS-3</t>
  </si>
  <si>
    <t>Paper Presentation Session 2: AS-2</t>
  </si>
  <si>
    <t>C106</t>
  </si>
  <si>
    <t>Paper Presentation Session 2: AS-3</t>
  </si>
  <si>
    <t>Paper Presentation Session 2: AS-4</t>
  </si>
  <si>
    <t>C102</t>
  </si>
  <si>
    <t>Paper Presentation Session 2: SS-4</t>
  </si>
  <si>
    <t>C104</t>
  </si>
  <si>
    <t>Paper Presentation Session 2: MS-2</t>
  </si>
  <si>
    <t>Paper Presentation Session 2: MS-3</t>
  </si>
  <si>
    <t>C103</t>
  </si>
  <si>
    <t>Paper Presentation Session 3: TS-4</t>
  </si>
  <si>
    <t>Paper Presentation Session 3: AS-5</t>
  </si>
  <si>
    <t>Paper Presentation Session 3: AS-6</t>
  </si>
  <si>
    <t>Paper Presentation Session 3: SS-5</t>
  </si>
  <si>
    <t>Paper Presentation Session 3: SS-6</t>
  </si>
  <si>
    <t>Paper Presentation Session 3: MS-4</t>
  </si>
  <si>
    <t>Keynote Session - 9: Experiments for studying necking in ductile materials</t>
  </si>
  <si>
    <t>Dr. Digendranath Swain (Vikram Sarabhai Space Center, ISRO)</t>
  </si>
  <si>
    <t>Valedictory</t>
  </si>
  <si>
    <t>ASTRA202610018</t>
  </si>
  <si>
    <t>ASTRA202610020</t>
  </si>
  <si>
    <t>Immanuel CJ</t>
  </si>
  <si>
    <t>Anju P Babu</t>
  </si>
  <si>
    <t>Mr</t>
  </si>
  <si>
    <t>Mrs</t>
  </si>
  <si>
    <t>Title</t>
  </si>
  <si>
    <t>04.06.2026</t>
  </si>
  <si>
    <t>10:00 - 10:50</t>
  </si>
  <si>
    <t>12:00 - 13:15</t>
  </si>
  <si>
    <t>13:15 - 14:05</t>
  </si>
  <si>
    <t>16:20 - 16:30</t>
  </si>
  <si>
    <t>16:30 - 17:00</t>
  </si>
  <si>
    <t>Lab Visit &amp; sky Watch (subjected to weather conditions)</t>
  </si>
  <si>
    <t>17:00 - 18:30</t>
  </si>
  <si>
    <t>18:30 - 19:30</t>
  </si>
  <si>
    <t>12:50 - 13:40</t>
  </si>
  <si>
    <t>13:40 - 14:30</t>
  </si>
  <si>
    <t>14:30 - 16:00</t>
  </si>
  <si>
    <t>16:00 - 16:10</t>
  </si>
  <si>
    <t>16:10 - 18:30</t>
  </si>
  <si>
    <t>19:00 - 20:30</t>
  </si>
  <si>
    <t>12:30 - 13:30</t>
  </si>
  <si>
    <t>13:00 - 15:00</t>
  </si>
  <si>
    <t>15:00 - 15:10</t>
  </si>
  <si>
    <t>15:10 - 16:00</t>
  </si>
  <si>
    <t>16:00 - 16:50</t>
  </si>
  <si>
    <t>14:05 - 16:20</t>
  </si>
  <si>
    <t>02.06.2026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</si>
</sst>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14009]hh:mm:ss;@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4"/>
      <color theme="1"/>
      <name val="Times New Roman"/>
      <family val="1"/>
    </font>
    <font>
      <sz val="10"/>
      <color theme="1"/>
      <name val="Arial"/>
      <family val="2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EEE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E8EAED"/>
      </top>
      <bottom style="medium">
        <color rgb="FFFFFFFF"/>
      </bottom>
      <diagonal/>
    </border>
    <border>
      <left style="medium">
        <color rgb="FFF6F8F9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EEEEEE"/>
      </left>
      <right style="medium">
        <color rgb="FFEEEEEE"/>
      </right>
      <top style="medium">
        <color rgb="FFCCCCCC"/>
      </top>
      <bottom style="medium">
        <color rgb="FFEEEEEE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EEEEEE"/>
      </bottom>
      <diagonal/>
    </border>
    <border>
      <left style="medium">
        <color rgb="FFFFFFFF"/>
      </left>
      <right style="medium">
        <color rgb="FFFFFFFF"/>
      </right>
      <top style="medium">
        <color rgb="FFE8EAED"/>
      </top>
      <bottom style="medium">
        <color rgb="FFEEEEEE"/>
      </bottom>
      <diagonal/>
    </border>
    <border>
      <left style="thin">
        <color auto="1"/>
      </left>
      <right/>
      <top/>
      <bottom/>
      <diagonal/>
    </border>
    <border>
      <left style="medium">
        <color rgb="FFFFFFFF"/>
      </left>
      <right style="medium">
        <color rgb="FF742932"/>
      </right>
      <top style="medium">
        <color rgb="FFE8EAED"/>
      </top>
      <bottom style="medium">
        <color rgb="FFFFFFFF"/>
      </bottom>
      <diagonal/>
    </border>
    <border>
      <left style="medium">
        <color rgb="FFFFFFFF"/>
      </left>
      <right style="medium">
        <color rgb="FF742932"/>
      </right>
      <top style="medium">
        <color rgb="FFCCCCCC"/>
      </top>
      <bottom style="medium">
        <color rgb="FFEEEEE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3" fillId="2" borderId="7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top"/>
    </xf>
    <xf numFmtId="0" fontId="4" fillId="0" borderId="8" xfId="0" applyFont="1" applyFill="1" applyBorder="1" applyAlignment="1">
      <alignment horizontal="center" vertical="top"/>
    </xf>
    <xf numFmtId="0" fontId="3" fillId="2" borderId="9" xfId="0" applyFont="1" applyFill="1" applyBorder="1" applyAlignment="1">
      <alignment vertical="center" wrapText="1"/>
    </xf>
    <xf numFmtId="0" fontId="3" fillId="2" borderId="10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horizontal="center" vertical="top"/>
    </xf>
    <xf numFmtId="164" fontId="1" fillId="0" borderId="1" xfId="0" applyNumberFormat="1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 wrapText="1"/>
    </xf>
    <xf numFmtId="0" fontId="0" fillId="0" borderId="0" xfId="0" applyFill="1"/>
    <xf numFmtId="164" fontId="0" fillId="0" borderId="0" xfId="0" applyNumberFormat="1" applyFill="1"/>
    <xf numFmtId="0" fontId="0" fillId="0" borderId="0" xfId="0" applyFill="1" applyAlignment="1">
      <alignment wrapText="1"/>
    </xf>
    <xf numFmtId="0" fontId="5" fillId="0" borderId="0" xfId="0" applyFont="1" applyFill="1" applyAlignment="1">
      <alignment wrapText="1"/>
    </xf>
    <xf numFmtId="0" fontId="5" fillId="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selection activeCell="G14" sqref="G14"/>
    </sheetView>
  </sheetViews>
  <sheetFormatPr defaultRowHeight="15" x14ac:dyDescent="0.25"/>
  <cols>
    <col min="1" max="1" width="35.7109375" customWidth="1"/>
    <col min="2" max="2" width="12.85546875" customWidth="1"/>
    <col min="3" max="3" width="36.42578125" customWidth="1"/>
    <col min="4" max="4" width="42.28515625" customWidth="1"/>
    <col min="5" max="5" width="38.7109375" customWidth="1"/>
    <col min="6" max="6" width="27" customWidth="1"/>
    <col min="7" max="7" width="44" customWidth="1"/>
    <col min="8" max="8" width="22" customWidth="1"/>
  </cols>
  <sheetData>
    <row r="1" spans="1:8" ht="15.75" thickBot="1" x14ac:dyDescent="0.3">
      <c r="A1" s="1" t="s">
        <v>0</v>
      </c>
      <c r="B1" s="9" t="s">
        <v>104</v>
      </c>
      <c r="C1" s="1" t="s">
        <v>1</v>
      </c>
      <c r="D1" s="1" t="s">
        <v>2</v>
      </c>
      <c r="E1" s="1" t="s">
        <v>3</v>
      </c>
      <c r="G1" s="10"/>
    </row>
    <row r="2" spans="1:8" ht="19.5" thickBot="1" x14ac:dyDescent="0.3">
      <c r="A2" s="2" t="s">
        <v>98</v>
      </c>
      <c r="B2" s="2" t="s">
        <v>102</v>
      </c>
      <c r="C2" s="2" t="s">
        <v>100</v>
      </c>
      <c r="D2" t="s">
        <v>4</v>
      </c>
      <c r="E2" t="s">
        <v>5</v>
      </c>
      <c r="F2" s="7"/>
      <c r="G2" s="8"/>
      <c r="H2" s="11"/>
    </row>
    <row r="3" spans="1:8" ht="19.5" thickBot="1" x14ac:dyDescent="0.3">
      <c r="A3" s="3" t="s">
        <v>99</v>
      </c>
      <c r="B3" s="4" t="s">
        <v>103</v>
      </c>
      <c r="C3" s="4" t="s">
        <v>101</v>
      </c>
      <c r="D3" t="s">
        <v>6</v>
      </c>
      <c r="E3" t="s">
        <v>7</v>
      </c>
      <c r="F3" s="5"/>
      <c r="G3" s="6"/>
      <c r="H3" s="12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"/>
  <sheetViews>
    <sheetView tabSelected="1" topLeftCell="A25" workbookViewId="0">
      <selection activeCell="C56" sqref="C56"/>
    </sheetView>
  </sheetViews>
  <sheetFormatPr defaultRowHeight="15" x14ac:dyDescent="0.25"/>
  <cols>
    <col min="1" max="1" width="15" style="16" customWidth="1"/>
    <col min="2" max="2" width="16.7109375" style="16" customWidth="1"/>
    <col min="3" max="3" width="16" style="16" customWidth="1"/>
    <col min="4" max="4" width="18.28515625" style="17" customWidth="1"/>
    <col min="5" max="5" width="25.85546875" style="17" customWidth="1"/>
    <col min="6" max="6" width="47.5703125" style="18" customWidth="1"/>
    <col min="7" max="9" width="47.5703125" style="16" customWidth="1"/>
    <col min="10" max="16384" width="9.140625" style="16"/>
  </cols>
  <sheetData>
    <row r="1" spans="1:8" x14ac:dyDescent="0.25">
      <c r="A1" s="13" t="s">
        <v>8</v>
      </c>
      <c r="B1" s="13" t="s">
        <v>9</v>
      </c>
      <c r="C1" s="13" t="s">
        <v>10</v>
      </c>
      <c r="D1" s="14" t="s">
        <v>11</v>
      </c>
      <c r="E1" s="14" t="s">
        <v>12</v>
      </c>
      <c r="F1" s="15" t="s">
        <v>13</v>
      </c>
      <c r="G1" s="13" t="s">
        <v>14</v>
      </c>
      <c r="H1" s="13" t="s">
        <v>15</v>
      </c>
    </row>
    <row r="2" spans="1:8" x14ac:dyDescent="0.25">
      <c r="A2" s="16" t="s">
        <v>16</v>
      </c>
      <c r="B2" s="16" t="s">
        <v>105</v>
      </c>
      <c r="C2" s="16" t="s">
        <v>17</v>
      </c>
      <c r="D2" s="17">
        <f>TIMEVALUE(TRIM(LEFT(C2,FIND("-",C2)-1)))</f>
        <v>0.32291666666666669</v>
      </c>
      <c r="E2" s="17">
        <f>TIMEVALUE(TRIM(MID(C2,FIND("-",C2)+1,LEN(C2))))</f>
        <v>0.375</v>
      </c>
      <c r="F2" s="18" t="s">
        <v>18</v>
      </c>
      <c r="H2" s="16" t="s">
        <v>19</v>
      </c>
    </row>
    <row r="3" spans="1:8" x14ac:dyDescent="0.25">
      <c r="A3" s="16" t="s">
        <v>16</v>
      </c>
      <c r="B3" s="16" t="s">
        <v>105</v>
      </c>
      <c r="C3" s="16" t="s">
        <v>20</v>
      </c>
      <c r="D3" s="17">
        <f t="shared" ref="D3:D18" si="0">TIMEVALUE(TRIM(LEFT(C3,FIND("-",C3)-1)))</f>
        <v>0.38541666666666669</v>
      </c>
      <c r="E3" s="17">
        <f t="shared" ref="E3:E18" si="1">TIMEVALUE(TRIM(MID(C3,FIND("-",C3)+1,LEN(C3))))</f>
        <v>0.41666666666666669</v>
      </c>
      <c r="F3" s="18" t="s">
        <v>21</v>
      </c>
      <c r="H3" s="16" t="s">
        <v>22</v>
      </c>
    </row>
    <row r="4" spans="1:8" ht="30" x14ac:dyDescent="0.25">
      <c r="A4" s="16" t="s">
        <v>16</v>
      </c>
      <c r="B4" s="16" t="s">
        <v>105</v>
      </c>
      <c r="C4" s="16" t="s">
        <v>106</v>
      </c>
      <c r="D4" s="17">
        <f t="shared" si="0"/>
        <v>0.41666666666666669</v>
      </c>
      <c r="E4" s="17">
        <f t="shared" si="1"/>
        <v>0.4513888888888889</v>
      </c>
      <c r="F4" s="18" t="s">
        <v>23</v>
      </c>
      <c r="G4" s="16" t="s">
        <v>24</v>
      </c>
      <c r="H4" s="16" t="s">
        <v>22</v>
      </c>
    </row>
    <row r="5" spans="1:8" x14ac:dyDescent="0.25">
      <c r="A5" s="16" t="s">
        <v>16</v>
      </c>
      <c r="B5" s="16" t="s">
        <v>105</v>
      </c>
      <c r="C5" s="16" t="s">
        <v>25</v>
      </c>
      <c r="D5" s="17">
        <f t="shared" si="0"/>
        <v>0.4513888888888889</v>
      </c>
      <c r="E5" s="17">
        <f t="shared" si="1"/>
        <v>0.45833333333333331</v>
      </c>
      <c r="F5" s="18" t="s">
        <v>26</v>
      </c>
      <c r="H5" s="16" t="s">
        <v>22</v>
      </c>
    </row>
    <row r="6" spans="1:8" ht="30" x14ac:dyDescent="0.25">
      <c r="A6" s="16" t="s">
        <v>16</v>
      </c>
      <c r="B6" s="16" t="s">
        <v>105</v>
      </c>
      <c r="C6" s="16" t="s">
        <v>27</v>
      </c>
      <c r="D6" s="17">
        <f t="shared" si="0"/>
        <v>0.46527777777777773</v>
      </c>
      <c r="E6" s="17">
        <f t="shared" si="1"/>
        <v>0.5</v>
      </c>
      <c r="F6" s="18" t="s">
        <v>28</v>
      </c>
      <c r="G6" s="16" t="s">
        <v>29</v>
      </c>
      <c r="H6" s="16" t="s">
        <v>22</v>
      </c>
    </row>
    <row r="7" spans="1:8" x14ac:dyDescent="0.25">
      <c r="A7" s="16" t="s">
        <v>16</v>
      </c>
      <c r="B7" s="16" t="s">
        <v>105</v>
      </c>
      <c r="C7" s="16" t="s">
        <v>107</v>
      </c>
      <c r="D7" s="17">
        <f t="shared" si="0"/>
        <v>0.5</v>
      </c>
      <c r="E7" s="17">
        <f t="shared" si="1"/>
        <v>0.55208333333333337</v>
      </c>
      <c r="F7" s="18" t="s">
        <v>30</v>
      </c>
      <c r="H7" s="16" t="s">
        <v>31</v>
      </c>
    </row>
    <row r="8" spans="1:8" ht="60" x14ac:dyDescent="0.25">
      <c r="A8" s="16" t="s">
        <v>16</v>
      </c>
      <c r="B8" s="16" t="s">
        <v>105</v>
      </c>
      <c r="C8" s="16" t="s">
        <v>108</v>
      </c>
      <c r="D8" s="17">
        <f t="shared" si="0"/>
        <v>0.55208333333333337</v>
      </c>
      <c r="E8" s="17">
        <f t="shared" si="1"/>
        <v>0.58680555555555558</v>
      </c>
      <c r="F8" s="19" t="s">
        <v>45</v>
      </c>
      <c r="G8" s="20" t="s">
        <v>46</v>
      </c>
      <c r="H8" s="20" t="s">
        <v>22</v>
      </c>
    </row>
    <row r="9" spans="1:8" ht="30" x14ac:dyDescent="0.25">
      <c r="A9" s="16" t="s">
        <v>16</v>
      </c>
      <c r="B9" s="16" t="s">
        <v>105</v>
      </c>
      <c r="C9" s="16" t="s">
        <v>125</v>
      </c>
      <c r="D9" s="17">
        <f t="shared" si="0"/>
        <v>0.58680555555555558</v>
      </c>
      <c r="E9" s="17">
        <f t="shared" si="1"/>
        <v>0.68055555555555547</v>
      </c>
      <c r="F9" s="18" t="s">
        <v>32</v>
      </c>
      <c r="H9" s="16" t="s">
        <v>33</v>
      </c>
    </row>
    <row r="10" spans="1:8" ht="30" x14ac:dyDescent="0.25">
      <c r="A10" s="16" t="s">
        <v>16</v>
      </c>
      <c r="B10" s="16" t="s">
        <v>105</v>
      </c>
      <c r="C10" s="16" t="s">
        <v>125</v>
      </c>
      <c r="D10" s="17">
        <f t="shared" si="0"/>
        <v>0.58680555555555558</v>
      </c>
      <c r="E10" s="17">
        <f t="shared" si="1"/>
        <v>0.68055555555555547</v>
      </c>
      <c r="F10" s="18" t="s">
        <v>34</v>
      </c>
      <c r="H10" s="16" t="s">
        <v>35</v>
      </c>
    </row>
    <row r="11" spans="1:8" ht="30" x14ac:dyDescent="0.25">
      <c r="A11" s="16" t="s">
        <v>16</v>
      </c>
      <c r="B11" s="16" t="s">
        <v>105</v>
      </c>
      <c r="C11" s="16" t="s">
        <v>125</v>
      </c>
      <c r="D11" s="17">
        <f t="shared" si="0"/>
        <v>0.58680555555555558</v>
      </c>
      <c r="E11" s="17">
        <f t="shared" si="1"/>
        <v>0.68055555555555547</v>
      </c>
      <c r="F11" s="18" t="s">
        <v>36</v>
      </c>
      <c r="H11" s="16" t="s">
        <v>37</v>
      </c>
    </row>
    <row r="12" spans="1:8" ht="30" x14ac:dyDescent="0.25">
      <c r="A12" s="16" t="s">
        <v>16</v>
      </c>
      <c r="B12" s="16" t="s">
        <v>105</v>
      </c>
      <c r="C12" s="16" t="s">
        <v>125</v>
      </c>
      <c r="D12" s="17">
        <f t="shared" si="0"/>
        <v>0.58680555555555558</v>
      </c>
      <c r="E12" s="17">
        <f t="shared" si="1"/>
        <v>0.68055555555555547</v>
      </c>
      <c r="F12" s="18" t="s">
        <v>38</v>
      </c>
      <c r="H12" s="16" t="s">
        <v>39</v>
      </c>
    </row>
    <row r="13" spans="1:8" ht="30" x14ac:dyDescent="0.25">
      <c r="A13" s="16" t="s">
        <v>16</v>
      </c>
      <c r="B13" s="16" t="s">
        <v>105</v>
      </c>
      <c r="C13" s="16" t="s">
        <v>125</v>
      </c>
      <c r="D13" s="17">
        <f t="shared" si="0"/>
        <v>0.58680555555555558</v>
      </c>
      <c r="E13" s="17">
        <f t="shared" si="1"/>
        <v>0.68055555555555547</v>
      </c>
      <c r="F13" s="18" t="s">
        <v>40</v>
      </c>
      <c r="H13" s="16" t="s">
        <v>7</v>
      </c>
    </row>
    <row r="14" spans="1:8" ht="30" x14ac:dyDescent="0.25">
      <c r="A14" s="16" t="s">
        <v>16</v>
      </c>
      <c r="B14" s="16" t="s">
        <v>105</v>
      </c>
      <c r="C14" s="16" t="s">
        <v>125</v>
      </c>
      <c r="D14" s="17">
        <f t="shared" si="0"/>
        <v>0.58680555555555558</v>
      </c>
      <c r="E14" s="17">
        <f t="shared" si="1"/>
        <v>0.68055555555555547</v>
      </c>
      <c r="F14" s="18" t="s">
        <v>41</v>
      </c>
      <c r="H14" s="16" t="s">
        <v>42</v>
      </c>
    </row>
    <row r="15" spans="1:8" ht="30" x14ac:dyDescent="0.25">
      <c r="A15" s="16" t="s">
        <v>16</v>
      </c>
      <c r="B15" s="16" t="s">
        <v>105</v>
      </c>
      <c r="C15" s="16" t="s">
        <v>125</v>
      </c>
      <c r="D15" s="17">
        <f t="shared" si="0"/>
        <v>0.58680555555555558</v>
      </c>
      <c r="E15" s="17">
        <f t="shared" si="1"/>
        <v>0.68055555555555547</v>
      </c>
      <c r="F15" s="18" t="s">
        <v>43</v>
      </c>
      <c r="H15" s="16" t="s">
        <v>44</v>
      </c>
    </row>
    <row r="16" spans="1:8" x14ac:dyDescent="0.25">
      <c r="A16" s="16" t="s">
        <v>16</v>
      </c>
      <c r="B16" s="16" t="s">
        <v>105</v>
      </c>
      <c r="C16" s="16" t="s">
        <v>109</v>
      </c>
      <c r="D16" s="17">
        <f t="shared" si="0"/>
        <v>0.68055555555555547</v>
      </c>
      <c r="E16" s="17">
        <f>TIMEVALUE(TRIM(MID(C16,FIND("-",C16)+1,LEN(C16))))</f>
        <v>0.6875</v>
      </c>
      <c r="F16" s="18" t="s">
        <v>47</v>
      </c>
      <c r="H16" s="16" t="s">
        <v>22</v>
      </c>
    </row>
    <row r="17" spans="1:8" x14ac:dyDescent="0.25">
      <c r="A17" s="16" t="s">
        <v>16</v>
      </c>
      <c r="B17" s="16" t="s">
        <v>105</v>
      </c>
      <c r="C17" s="16" t="s">
        <v>110</v>
      </c>
      <c r="D17" s="17">
        <f t="shared" si="0"/>
        <v>0.6875</v>
      </c>
      <c r="E17" s="17">
        <f t="shared" si="1"/>
        <v>0.70833333333333337</v>
      </c>
      <c r="F17" s="18" t="s">
        <v>48</v>
      </c>
      <c r="H17" s="16" t="s">
        <v>22</v>
      </c>
    </row>
    <row r="18" spans="1:8" ht="30" x14ac:dyDescent="0.25">
      <c r="A18" s="16" t="s">
        <v>16</v>
      </c>
      <c r="B18" s="16" t="s">
        <v>105</v>
      </c>
      <c r="C18" s="16" t="s">
        <v>112</v>
      </c>
      <c r="D18" s="17">
        <f t="shared" si="0"/>
        <v>0.70833333333333337</v>
      </c>
      <c r="E18" s="17">
        <f t="shared" si="1"/>
        <v>0.77083333333333337</v>
      </c>
      <c r="F18" s="18" t="s">
        <v>111</v>
      </c>
      <c r="H18" s="16" t="s">
        <v>49</v>
      </c>
    </row>
    <row r="19" spans="1:8" x14ac:dyDescent="0.25">
      <c r="A19" s="16" t="s">
        <v>16</v>
      </c>
      <c r="B19" s="16" t="s">
        <v>105</v>
      </c>
      <c r="C19" s="16" t="s">
        <v>113</v>
      </c>
      <c r="D19" s="17">
        <f>TIMEVALUE(TRIM(LEFT(C19,FIND("-",C19)-1)))</f>
        <v>0.77083333333333337</v>
      </c>
      <c r="E19" s="17">
        <f>TIMEVALUE(TRIM(MID(C19,FIND("-",C19)+1,LEN(C19))))</f>
        <v>0.8125</v>
      </c>
      <c r="F19" s="18" t="s">
        <v>50</v>
      </c>
      <c r="H19" s="16" t="s">
        <v>31</v>
      </c>
    </row>
    <row r="20" spans="1:8" ht="30" x14ac:dyDescent="0.25">
      <c r="A20" s="16" t="s">
        <v>51</v>
      </c>
      <c r="B20" s="16" t="s">
        <v>52</v>
      </c>
      <c r="C20" s="16" t="s">
        <v>53</v>
      </c>
      <c r="D20" s="17">
        <f t="shared" ref="D20:D52" si="2">TIMEVALUE(TRIM(LEFT(C20,FIND("-",C20)-1)))</f>
        <v>0.375</v>
      </c>
      <c r="E20" s="17">
        <f t="shared" ref="E20:E52" si="3">TIMEVALUE(TRIM(MID(C20,FIND("-",C20)+1,LEN(C20))))</f>
        <v>0.40972222222222227</v>
      </c>
      <c r="F20" s="18" t="s">
        <v>54</v>
      </c>
      <c r="G20" s="16" t="s">
        <v>55</v>
      </c>
      <c r="H20" s="16" t="s">
        <v>22</v>
      </c>
    </row>
    <row r="21" spans="1:8" ht="45" x14ac:dyDescent="0.25">
      <c r="A21" s="16" t="s">
        <v>51</v>
      </c>
      <c r="B21" s="16" t="s">
        <v>52</v>
      </c>
      <c r="C21" s="16" t="s">
        <v>56</v>
      </c>
      <c r="D21" s="17">
        <f t="shared" si="2"/>
        <v>0.40972222222222227</v>
      </c>
      <c r="E21" s="17">
        <f t="shared" si="3"/>
        <v>0.44444444444444442</v>
      </c>
      <c r="F21" s="18" t="s">
        <v>57</v>
      </c>
      <c r="G21" s="16" t="s">
        <v>58</v>
      </c>
      <c r="H21" s="16" t="s">
        <v>22</v>
      </c>
    </row>
    <row r="22" spans="1:8" x14ac:dyDescent="0.25">
      <c r="A22" s="16" t="s">
        <v>51</v>
      </c>
      <c r="B22" s="16" t="s">
        <v>52</v>
      </c>
      <c r="C22" s="16" t="s">
        <v>59</v>
      </c>
      <c r="D22" s="17">
        <f t="shared" si="2"/>
        <v>0.44444444444444442</v>
      </c>
      <c r="E22" s="17">
        <f t="shared" si="3"/>
        <v>0.4513888888888889</v>
      </c>
      <c r="F22" s="18" t="s">
        <v>47</v>
      </c>
      <c r="H22" s="16" t="s">
        <v>22</v>
      </c>
    </row>
    <row r="23" spans="1:8" x14ac:dyDescent="0.25">
      <c r="A23" s="16" t="s">
        <v>51</v>
      </c>
      <c r="B23" s="16" t="s">
        <v>52</v>
      </c>
      <c r="C23" s="16" t="s">
        <v>60</v>
      </c>
      <c r="D23" s="17">
        <f t="shared" si="2"/>
        <v>0.4513888888888889</v>
      </c>
      <c r="E23" s="17">
        <f t="shared" si="3"/>
        <v>0.53472222222222221</v>
      </c>
      <c r="F23" s="18" t="s">
        <v>61</v>
      </c>
      <c r="H23" s="16" t="s">
        <v>22</v>
      </c>
    </row>
    <row r="24" spans="1:8" x14ac:dyDescent="0.25">
      <c r="A24" s="16" t="s">
        <v>51</v>
      </c>
      <c r="B24" s="16" t="s">
        <v>52</v>
      </c>
      <c r="C24" s="16" t="s">
        <v>114</v>
      </c>
      <c r="D24" s="17">
        <f t="shared" si="2"/>
        <v>0.53472222222222221</v>
      </c>
      <c r="E24" s="17">
        <f t="shared" si="3"/>
        <v>0.56944444444444442</v>
      </c>
      <c r="F24" s="18" t="s">
        <v>30</v>
      </c>
      <c r="H24" s="16" t="s">
        <v>31</v>
      </c>
    </row>
    <row r="25" spans="1:8" ht="60" x14ac:dyDescent="0.25">
      <c r="A25" s="16" t="s">
        <v>51</v>
      </c>
      <c r="B25" s="16" t="s">
        <v>52</v>
      </c>
      <c r="C25" s="16" t="s">
        <v>115</v>
      </c>
      <c r="D25" s="17">
        <f t="shared" si="2"/>
        <v>0.56944444444444442</v>
      </c>
      <c r="E25" s="17">
        <f t="shared" si="3"/>
        <v>0.60416666666666663</v>
      </c>
      <c r="F25" s="18" t="s">
        <v>62</v>
      </c>
      <c r="G25" s="16" t="s">
        <v>63</v>
      </c>
      <c r="H25" s="16" t="s">
        <v>22</v>
      </c>
    </row>
    <row r="26" spans="1:8" x14ac:dyDescent="0.25">
      <c r="A26" s="16" t="s">
        <v>51</v>
      </c>
      <c r="B26" s="16" t="s">
        <v>52</v>
      </c>
      <c r="C26" s="16" t="s">
        <v>116</v>
      </c>
      <c r="D26" s="17">
        <f t="shared" si="2"/>
        <v>0.60416666666666663</v>
      </c>
      <c r="E26" s="17">
        <f t="shared" si="3"/>
        <v>0.66666666666666663</v>
      </c>
      <c r="F26" s="18" t="s">
        <v>64</v>
      </c>
      <c r="H26" s="16" t="s">
        <v>65</v>
      </c>
    </row>
    <row r="27" spans="1:8" x14ac:dyDescent="0.25">
      <c r="A27" s="16" t="s">
        <v>51</v>
      </c>
      <c r="B27" s="16" t="s">
        <v>52</v>
      </c>
      <c r="C27" s="16" t="s">
        <v>116</v>
      </c>
      <c r="D27" s="17">
        <f t="shared" si="2"/>
        <v>0.60416666666666663</v>
      </c>
      <c r="E27" s="17">
        <f t="shared" si="3"/>
        <v>0.66666666666666663</v>
      </c>
      <c r="F27" s="18" t="s">
        <v>66</v>
      </c>
      <c r="H27" s="16" t="s">
        <v>67</v>
      </c>
    </row>
    <row r="28" spans="1:8" x14ac:dyDescent="0.25">
      <c r="A28" s="16" t="s">
        <v>51</v>
      </c>
      <c r="B28" s="16" t="s">
        <v>52</v>
      </c>
      <c r="C28" s="16" t="s">
        <v>116</v>
      </c>
      <c r="D28" s="17">
        <f t="shared" si="2"/>
        <v>0.60416666666666663</v>
      </c>
      <c r="E28" s="17">
        <f t="shared" si="3"/>
        <v>0.66666666666666663</v>
      </c>
      <c r="F28" s="18" t="s">
        <v>68</v>
      </c>
      <c r="H28" s="16" t="s">
        <v>69</v>
      </c>
    </row>
    <row r="29" spans="1:8" x14ac:dyDescent="0.25">
      <c r="A29" s="16" t="s">
        <v>51</v>
      </c>
      <c r="B29" s="16" t="s">
        <v>52</v>
      </c>
      <c r="C29" s="16" t="s">
        <v>117</v>
      </c>
      <c r="D29" s="17">
        <f t="shared" si="2"/>
        <v>0.66666666666666663</v>
      </c>
      <c r="E29" s="17">
        <f t="shared" si="3"/>
        <v>0.67361111111111116</v>
      </c>
      <c r="F29" s="18" t="s">
        <v>47</v>
      </c>
      <c r="H29" s="16" t="s">
        <v>22</v>
      </c>
    </row>
    <row r="30" spans="1:8" x14ac:dyDescent="0.25">
      <c r="A30" s="16" t="s">
        <v>51</v>
      </c>
      <c r="B30" s="16" t="s">
        <v>52</v>
      </c>
      <c r="C30" s="16" t="s">
        <v>118</v>
      </c>
      <c r="D30" s="17">
        <f t="shared" si="2"/>
        <v>0.67361111111111116</v>
      </c>
      <c r="E30" s="17">
        <f t="shared" si="3"/>
        <v>0.77083333333333337</v>
      </c>
      <c r="F30" s="18" t="s">
        <v>70</v>
      </c>
      <c r="H30" s="16" t="s">
        <v>65</v>
      </c>
    </row>
    <row r="31" spans="1:8" x14ac:dyDescent="0.25">
      <c r="A31" s="16" t="s">
        <v>51</v>
      </c>
      <c r="B31" s="16" t="s">
        <v>52</v>
      </c>
      <c r="C31" s="16" t="s">
        <v>118</v>
      </c>
      <c r="D31" s="17">
        <f t="shared" si="2"/>
        <v>0.67361111111111116</v>
      </c>
      <c r="E31" s="17">
        <f t="shared" si="3"/>
        <v>0.77083333333333337</v>
      </c>
      <c r="F31" s="18" t="s">
        <v>71</v>
      </c>
      <c r="H31" s="16" t="s">
        <v>69</v>
      </c>
    </row>
    <row r="32" spans="1:8" x14ac:dyDescent="0.25">
      <c r="A32" s="16" t="s">
        <v>51</v>
      </c>
      <c r="B32" s="16" t="s">
        <v>52</v>
      </c>
      <c r="C32" s="16" t="s">
        <v>119</v>
      </c>
      <c r="D32" s="17">
        <f t="shared" si="2"/>
        <v>0.79166666666666663</v>
      </c>
      <c r="E32" s="17">
        <f t="shared" si="3"/>
        <v>0.85416666666666663</v>
      </c>
      <c r="F32" s="18" t="s">
        <v>72</v>
      </c>
      <c r="H32" s="16" t="s">
        <v>31</v>
      </c>
    </row>
    <row r="33" spans="1:8" ht="30" x14ac:dyDescent="0.25">
      <c r="A33" s="16" t="s">
        <v>73</v>
      </c>
      <c r="B33" s="16" t="s">
        <v>126</v>
      </c>
      <c r="C33" s="16" t="s">
        <v>53</v>
      </c>
      <c r="D33" s="17">
        <f t="shared" si="2"/>
        <v>0.375</v>
      </c>
      <c r="E33" s="17">
        <f t="shared" si="3"/>
        <v>0.40972222222222227</v>
      </c>
      <c r="F33" s="18" t="s">
        <v>74</v>
      </c>
      <c r="G33" s="16" t="s">
        <v>75</v>
      </c>
      <c r="H33" s="16" t="s">
        <v>22</v>
      </c>
    </row>
    <row r="34" spans="1:8" x14ac:dyDescent="0.25">
      <c r="A34" s="16" t="s">
        <v>73</v>
      </c>
      <c r="B34" s="16" t="s">
        <v>126</v>
      </c>
      <c r="C34" s="16" t="s">
        <v>56</v>
      </c>
      <c r="D34" s="17">
        <f t="shared" si="2"/>
        <v>0.40972222222222227</v>
      </c>
      <c r="E34" s="17">
        <f t="shared" si="3"/>
        <v>0.44444444444444442</v>
      </c>
      <c r="F34" s="18" t="s">
        <v>76</v>
      </c>
      <c r="G34" s="16" t="s">
        <v>77</v>
      </c>
      <c r="H34" s="16" t="s">
        <v>22</v>
      </c>
    </row>
    <row r="35" spans="1:8" x14ac:dyDescent="0.25">
      <c r="A35" s="16" t="s">
        <v>73</v>
      </c>
      <c r="B35" s="16" t="s">
        <v>126</v>
      </c>
      <c r="C35" s="16" t="s">
        <v>59</v>
      </c>
      <c r="D35" s="17">
        <f t="shared" si="2"/>
        <v>0.44444444444444442</v>
      </c>
      <c r="E35" s="17">
        <f t="shared" si="3"/>
        <v>0.4513888888888889</v>
      </c>
      <c r="F35" s="18" t="s">
        <v>47</v>
      </c>
      <c r="H35" s="16" t="s">
        <v>22</v>
      </c>
    </row>
    <row r="36" spans="1:8" x14ac:dyDescent="0.25">
      <c r="A36" s="16" t="s">
        <v>73</v>
      </c>
      <c r="B36" s="16" t="s">
        <v>126</v>
      </c>
      <c r="C36" s="16" t="s">
        <v>60</v>
      </c>
      <c r="D36" s="17">
        <f t="shared" si="2"/>
        <v>0.4513888888888889</v>
      </c>
      <c r="E36" s="17">
        <f t="shared" si="3"/>
        <v>0.53472222222222221</v>
      </c>
      <c r="F36" s="18" t="s">
        <v>78</v>
      </c>
      <c r="H36" s="16" t="s">
        <v>33</v>
      </c>
    </row>
    <row r="37" spans="1:8" x14ac:dyDescent="0.25">
      <c r="A37" s="16" t="s">
        <v>73</v>
      </c>
      <c r="B37" s="16" t="s">
        <v>126</v>
      </c>
      <c r="C37" s="16" t="s">
        <v>60</v>
      </c>
      <c r="D37" s="17">
        <f t="shared" si="2"/>
        <v>0.4513888888888889</v>
      </c>
      <c r="E37" s="17">
        <f t="shared" si="3"/>
        <v>0.53472222222222221</v>
      </c>
      <c r="F37" s="18" t="s">
        <v>79</v>
      </c>
      <c r="H37" s="16" t="s">
        <v>80</v>
      </c>
    </row>
    <row r="38" spans="1:8" x14ac:dyDescent="0.25">
      <c r="A38" s="16" t="s">
        <v>73</v>
      </c>
      <c r="B38" s="16" t="s">
        <v>126</v>
      </c>
      <c r="C38" s="16" t="s">
        <v>60</v>
      </c>
      <c r="D38" s="17">
        <f t="shared" si="2"/>
        <v>0.4513888888888889</v>
      </c>
      <c r="E38" s="17">
        <f t="shared" si="3"/>
        <v>0.53472222222222221</v>
      </c>
      <c r="F38" s="18" t="s">
        <v>81</v>
      </c>
      <c r="H38" s="16" t="s">
        <v>35</v>
      </c>
    </row>
    <row r="39" spans="1:8" x14ac:dyDescent="0.25">
      <c r="A39" s="16" t="s">
        <v>73</v>
      </c>
      <c r="B39" s="16" t="s">
        <v>126</v>
      </c>
      <c r="C39" s="16" t="s">
        <v>60</v>
      </c>
      <c r="D39" s="17">
        <f t="shared" si="2"/>
        <v>0.4513888888888889</v>
      </c>
      <c r="E39" s="17">
        <f t="shared" si="3"/>
        <v>0.53472222222222221</v>
      </c>
      <c r="F39" s="18" t="s">
        <v>82</v>
      </c>
      <c r="H39" s="16" t="s">
        <v>83</v>
      </c>
    </row>
    <row r="40" spans="1:8" x14ac:dyDescent="0.25">
      <c r="A40" s="16" t="s">
        <v>73</v>
      </c>
      <c r="B40" s="16" t="s">
        <v>126</v>
      </c>
      <c r="C40" s="16" t="s">
        <v>60</v>
      </c>
      <c r="D40" s="17">
        <f t="shared" si="2"/>
        <v>0.4513888888888889</v>
      </c>
      <c r="E40" s="17">
        <f t="shared" si="3"/>
        <v>0.53472222222222221</v>
      </c>
      <c r="F40" s="18" t="s">
        <v>84</v>
      </c>
      <c r="H40" s="16" t="s">
        <v>85</v>
      </c>
    </row>
    <row r="41" spans="1:8" x14ac:dyDescent="0.25">
      <c r="A41" s="16" t="s">
        <v>73</v>
      </c>
      <c r="B41" s="16" t="s">
        <v>126</v>
      </c>
      <c r="C41" s="16" t="s">
        <v>60</v>
      </c>
      <c r="D41" s="17">
        <f t="shared" si="2"/>
        <v>0.4513888888888889</v>
      </c>
      <c r="E41" s="17">
        <f t="shared" si="3"/>
        <v>0.53472222222222221</v>
      </c>
      <c r="F41" s="18" t="s">
        <v>86</v>
      </c>
      <c r="H41" s="16" t="s">
        <v>7</v>
      </c>
    </row>
    <row r="42" spans="1:8" x14ac:dyDescent="0.25">
      <c r="A42" s="16" t="s">
        <v>73</v>
      </c>
      <c r="B42" s="16" t="s">
        <v>126</v>
      </c>
      <c r="C42" s="16" t="s">
        <v>60</v>
      </c>
      <c r="D42" s="17">
        <f t="shared" si="2"/>
        <v>0.4513888888888889</v>
      </c>
      <c r="E42" s="17">
        <f t="shared" si="3"/>
        <v>0.53472222222222221</v>
      </c>
      <c r="F42" s="18" t="s">
        <v>87</v>
      </c>
      <c r="H42" s="16" t="s">
        <v>88</v>
      </c>
    </row>
    <row r="43" spans="1:8" x14ac:dyDescent="0.25">
      <c r="A43" s="16" t="s">
        <v>73</v>
      </c>
      <c r="B43" s="16" t="s">
        <v>126</v>
      </c>
      <c r="C43" s="16" t="s">
        <v>120</v>
      </c>
      <c r="D43" s="17">
        <f t="shared" si="2"/>
        <v>0.52083333333333337</v>
      </c>
      <c r="E43" s="17">
        <f t="shared" si="3"/>
        <v>0.5625</v>
      </c>
      <c r="F43" s="18" t="s">
        <v>30</v>
      </c>
      <c r="H43" s="16" t="s">
        <v>31</v>
      </c>
    </row>
    <row r="44" spans="1:8" x14ac:dyDescent="0.25">
      <c r="A44" s="16" t="s">
        <v>73</v>
      </c>
      <c r="B44" s="16" t="s">
        <v>126</v>
      </c>
      <c r="C44" s="16" t="s">
        <v>121</v>
      </c>
      <c r="D44" s="17">
        <f t="shared" si="2"/>
        <v>0.54166666666666663</v>
      </c>
      <c r="E44" s="17">
        <f t="shared" si="3"/>
        <v>0.625</v>
      </c>
      <c r="F44" s="18" t="s">
        <v>89</v>
      </c>
      <c r="H44" s="16" t="s">
        <v>7</v>
      </c>
    </row>
    <row r="45" spans="1:8" x14ac:dyDescent="0.25">
      <c r="A45" s="16" t="s">
        <v>73</v>
      </c>
      <c r="B45" s="16" t="s">
        <v>126</v>
      </c>
      <c r="C45" s="16" t="s">
        <v>121</v>
      </c>
      <c r="D45" s="17">
        <f t="shared" si="2"/>
        <v>0.54166666666666663</v>
      </c>
      <c r="E45" s="17">
        <f t="shared" si="3"/>
        <v>0.625</v>
      </c>
      <c r="F45" s="18" t="s">
        <v>90</v>
      </c>
      <c r="H45" s="16" t="s">
        <v>35</v>
      </c>
    </row>
    <row r="46" spans="1:8" x14ac:dyDescent="0.25">
      <c r="A46" s="16" t="s">
        <v>73</v>
      </c>
      <c r="B46" s="16" t="s">
        <v>126</v>
      </c>
      <c r="C46" s="16" t="s">
        <v>121</v>
      </c>
      <c r="D46" s="17">
        <f t="shared" si="2"/>
        <v>0.54166666666666663</v>
      </c>
      <c r="E46" s="17">
        <f t="shared" si="3"/>
        <v>0.625</v>
      </c>
      <c r="F46" s="18" t="s">
        <v>91</v>
      </c>
      <c r="H46" s="16" t="s">
        <v>83</v>
      </c>
    </row>
    <row r="47" spans="1:8" x14ac:dyDescent="0.25">
      <c r="A47" s="16" t="s">
        <v>73</v>
      </c>
      <c r="B47" s="16" t="s">
        <v>126</v>
      </c>
      <c r="C47" s="16" t="s">
        <v>121</v>
      </c>
      <c r="D47" s="17">
        <f t="shared" si="2"/>
        <v>0.54166666666666663</v>
      </c>
      <c r="E47" s="17">
        <f t="shared" si="3"/>
        <v>0.625</v>
      </c>
      <c r="F47" s="18" t="s">
        <v>92</v>
      </c>
      <c r="H47" s="16" t="s">
        <v>80</v>
      </c>
    </row>
    <row r="48" spans="1:8" x14ac:dyDescent="0.25">
      <c r="A48" s="16" t="s">
        <v>73</v>
      </c>
      <c r="B48" s="16" t="s">
        <v>126</v>
      </c>
      <c r="C48" s="16" t="s">
        <v>121</v>
      </c>
      <c r="D48" s="17">
        <f t="shared" si="2"/>
        <v>0.54166666666666663</v>
      </c>
      <c r="E48" s="17">
        <f t="shared" si="3"/>
        <v>0.625</v>
      </c>
      <c r="F48" s="18" t="s">
        <v>93</v>
      </c>
      <c r="H48" s="16" t="s">
        <v>88</v>
      </c>
    </row>
    <row r="49" spans="1:8" x14ac:dyDescent="0.25">
      <c r="A49" s="16" t="s">
        <v>73</v>
      </c>
      <c r="B49" s="16" t="s">
        <v>126</v>
      </c>
      <c r="C49" s="16" t="s">
        <v>121</v>
      </c>
      <c r="D49" s="17">
        <f t="shared" si="2"/>
        <v>0.54166666666666663</v>
      </c>
      <c r="E49" s="17">
        <f t="shared" si="3"/>
        <v>0.625</v>
      </c>
      <c r="F49" s="18" t="s">
        <v>94</v>
      </c>
      <c r="H49" s="16" t="s">
        <v>85</v>
      </c>
    </row>
    <row r="50" spans="1:8" x14ac:dyDescent="0.25">
      <c r="A50" s="16" t="s">
        <v>73</v>
      </c>
      <c r="B50" s="16" t="s">
        <v>126</v>
      </c>
      <c r="C50" s="16" t="s">
        <v>122</v>
      </c>
      <c r="D50" s="17">
        <f t="shared" si="2"/>
        <v>0.625</v>
      </c>
      <c r="E50" s="17">
        <f t="shared" si="3"/>
        <v>0.63194444444444442</v>
      </c>
      <c r="F50" s="18" t="s">
        <v>47</v>
      </c>
      <c r="H50" s="16" t="s">
        <v>22</v>
      </c>
    </row>
    <row r="51" spans="1:8" ht="30" x14ac:dyDescent="0.25">
      <c r="A51" s="16" t="s">
        <v>73</v>
      </c>
      <c r="B51" s="16" t="s">
        <v>126</v>
      </c>
      <c r="C51" s="16" t="s">
        <v>123</v>
      </c>
      <c r="D51" s="17">
        <f t="shared" si="2"/>
        <v>0.63194444444444442</v>
      </c>
      <c r="E51" s="17">
        <f t="shared" si="3"/>
        <v>0.66666666666666663</v>
      </c>
      <c r="F51" s="18" t="s">
        <v>95</v>
      </c>
      <c r="G51" s="16" t="s">
        <v>96</v>
      </c>
      <c r="H51" s="16" t="s">
        <v>22</v>
      </c>
    </row>
    <row r="52" spans="1:8" x14ac:dyDescent="0.25">
      <c r="A52" s="16" t="s">
        <v>73</v>
      </c>
      <c r="B52" s="16" t="s">
        <v>126</v>
      </c>
      <c r="C52" s="16" t="s">
        <v>124</v>
      </c>
      <c r="D52" s="17">
        <f t="shared" si="2"/>
        <v>0.66666666666666663</v>
      </c>
      <c r="E52" s="17">
        <f t="shared" si="3"/>
        <v>0.70138888888888884</v>
      </c>
      <c r="F52" s="18" t="s">
        <v>97</v>
      </c>
      <c r="H52" s="16" t="s">
        <v>22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Attendees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RoySC25D042</cp:lastModifiedBy>
  <dcterms:created xsi:type="dcterms:W3CDTF">2026-06-01T13:15:51Z</dcterms:created>
  <dcterms:modified xsi:type="dcterms:W3CDTF">2026-06-02T09:56:04Z</dcterms:modified>
</cp:coreProperties>
</file>